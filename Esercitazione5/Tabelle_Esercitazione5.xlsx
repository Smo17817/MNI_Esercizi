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OneDrive\Desktop\Universita\Informatica\Magistrale\Anno_2\Metodi_Numerici\MNI_Esercizi\Esercitazione5\"/>
    </mc:Choice>
  </mc:AlternateContent>
  <xr:revisionPtr revIDLastSave="0" documentId="13_ncr:1_{70C93CDF-1814-4472-95F8-D1AA83C0543F}" xr6:coauthVersionLast="47" xr6:coauthVersionMax="47" xr10:uidLastSave="{00000000-0000-0000-0000-000000000000}"/>
  <bookViews>
    <workbookView xWindow="8580" yWindow="2310" windowWidth="18420" windowHeight="14595" xr2:uid="{BFBD3147-2A7D-4227-A28A-85E78CD98EEF}"/>
  </bookViews>
  <sheets>
    <sheet name="Foglio1" sheetId="1" r:id="rId1"/>
  </sheets>
  <definedNames>
    <definedName name="_xlnm.Print_Area" localSheetId="0">Foglio1!$A$1:$K$46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F9" i="1" s="1"/>
  <c r="E22" i="1"/>
  <c r="E21" i="1"/>
  <c r="F22" i="1"/>
  <c r="E23" i="1"/>
  <c r="F23" i="1" s="1"/>
  <c r="E24" i="1"/>
  <c r="F24" i="1" s="1"/>
  <c r="E25" i="1"/>
  <c r="F25" i="1" s="1"/>
  <c r="F21" i="1"/>
  <c r="F17" i="1"/>
  <c r="F16" i="1"/>
  <c r="F15" i="1"/>
  <c r="F14" i="1"/>
  <c r="F13" i="1"/>
  <c r="E13" i="1"/>
  <c r="E14" i="1"/>
  <c r="E15" i="1"/>
  <c r="E16" i="1"/>
  <c r="E17" i="1"/>
  <c r="F8" i="1"/>
  <c r="F5" i="1"/>
  <c r="F6" i="1"/>
  <c r="F7" i="1"/>
</calcChain>
</file>

<file path=xl/sharedStrings.xml><?xml version="1.0" encoding="utf-8"?>
<sst xmlns="http://schemas.openxmlformats.org/spreadsheetml/2006/main" count="51" uniqueCount="39">
  <si>
    <t>N</t>
  </si>
  <si>
    <t>Sp</t>
  </si>
  <si>
    <t>Strategia 1 (Banale)</t>
  </si>
  <si>
    <t>Strategia 2 (Divergente)</t>
  </si>
  <si>
    <t>Strategia 3 (Ottimizzata)</t>
  </si>
  <si>
    <t>Tempo Sequenziale (ms)</t>
  </si>
  <si>
    <t>Tempo Parallelo (ms) - GPU</t>
  </si>
  <si>
    <t>Tempo Parallelo (ms) - CPU</t>
  </si>
  <si>
    <t>Tempo Parallelo - Tot</t>
  </si>
  <si>
    <t>Parametro</t>
  </si>
  <si>
    <t>Valore</t>
  </si>
  <si>
    <t>Compute capability</t>
  </si>
  <si>
    <t>SM count</t>
  </si>
  <si>
    <t>Warp size</t>
  </si>
  <si>
    <t>Max threads per SM</t>
  </si>
  <si>
    <t>Max blocks per SM</t>
  </si>
  <si>
    <t>Max threads per block</t>
  </si>
  <si>
    <t>Shared memory per SM (B)</t>
  </si>
  <si>
    <t>Shared memory per block (B)</t>
  </si>
  <si>
    <t>Max shared memory opt-in per block (B)</t>
  </si>
  <si>
    <t>Registers per SM</t>
  </si>
  <si>
    <t>Registers per block</t>
  </si>
  <si>
    <t>Max grid size X</t>
  </si>
  <si>
    <t>Max grid size Y</t>
  </si>
  <si>
    <t>Max grid size Z</t>
  </si>
  <si>
    <t>Max block dim X</t>
  </si>
  <si>
    <t>Max block dim Y</t>
  </si>
  <si>
    <t>Max block dim Z</t>
  </si>
  <si>
    <t>Clock rate (GHz)</t>
  </si>
  <si>
    <t>Memory clock (MHz)</t>
  </si>
  <si>
    <t>Memory bus width (bit)</t>
  </si>
  <si>
    <t>Memory bandwidth (GB/s)</t>
  </si>
  <si>
    <t>Global memory (GB)</t>
  </si>
  <si>
    <t>L2 cache size (KB)</t>
  </si>
  <si>
    <t>Concurrent kernels</t>
  </si>
  <si>
    <t>Can map host memory</t>
  </si>
  <si>
    <t>Unified addressing</t>
  </si>
  <si>
    <t>8,6 (Architettura Ampere)</t>
  </si>
  <si>
    <t>Esercitazione 5 - Simone D'Assisi (0522502038)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</si>
</sst>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4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rgb="FF00206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Arial"/>
      <family val="2"/>
      <charset val="1"/>
    </font>
    <font>
      <b/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DDDDD"/>
        <bgColor rgb="FFD9D9D9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0" fontId="1" fillId="0" borderId="0"/>
    <xf numFmtId="0" fontId="2" fillId="2" borderId="0" applyBorder="0" applyProtection="0"/>
  </cellStyleXfs>
  <cellXfs count="26">
    <xf numFmtId="0" fontId="0" fillId="0" borderId="0" xfId="0"/>
    <xf numFmtId="0" fontId="4" fillId="0" borderId="0" xfId="1" applyFont="1"/>
    <xf numFmtId="164" fontId="4" fillId="0" borderId="0" xfId="1" applyNumberFormat="1" applyFont="1"/>
    <xf numFmtId="2" fontId="4" fillId="0" borderId="0" xfId="1" applyNumberFormat="1" applyFont="1"/>
    <xf numFmtId="11" fontId="4" fillId="0" borderId="0" xfId="1" applyNumberFormat="1" applyFont="1"/>
    <xf numFmtId="0" fontId="3" fillId="0" borderId="0" xfId="1" applyFont="1" applyAlignment="1">
      <alignment horizontal="center"/>
    </xf>
    <xf numFmtId="0" fontId="7" fillId="0" borderId="0" xfId="1" applyFont="1"/>
    <xf numFmtId="164" fontId="8" fillId="0" borderId="0" xfId="1" applyNumberFormat="1" applyFont="1"/>
    <xf numFmtId="0" fontId="9" fillId="3" borderId="1" xfId="1" applyFont="1" applyFill="1" applyBorder="1" applyAlignment="1">
      <alignment horizontal="center"/>
    </xf>
    <xf numFmtId="2" fontId="8" fillId="4" borderId="2" xfId="1" applyNumberFormat="1" applyFont="1" applyFill="1" applyBorder="1"/>
    <xf numFmtId="2" fontId="8" fillId="5" borderId="2" xfId="1" applyNumberFormat="1" applyFont="1" applyFill="1" applyBorder="1"/>
    <xf numFmtId="2" fontId="8" fillId="4" borderId="3" xfId="1" applyNumberFormat="1" applyFont="1" applyFill="1" applyBorder="1"/>
    <xf numFmtId="0" fontId="9" fillId="0" borderId="0" xfId="1" applyFont="1" applyAlignment="1">
      <alignment horizontal="center"/>
    </xf>
    <xf numFmtId="0" fontId="9" fillId="6" borderId="1" xfId="1" applyFont="1" applyFill="1" applyBorder="1" applyAlignment="1">
      <alignment horizontal="center"/>
    </xf>
    <xf numFmtId="2" fontId="8" fillId="7" borderId="2" xfId="1" applyNumberFormat="1" applyFont="1" applyFill="1" applyBorder="1"/>
    <xf numFmtId="2" fontId="8" fillId="8" borderId="2" xfId="1" applyNumberFormat="1" applyFont="1" applyFill="1" applyBorder="1"/>
    <xf numFmtId="2" fontId="8" fillId="7" borderId="3" xfId="1" applyNumberFormat="1" applyFont="1" applyFill="1" applyBorder="1"/>
    <xf numFmtId="0" fontId="9" fillId="9" borderId="1" xfId="1" applyFont="1" applyFill="1" applyBorder="1" applyAlignment="1">
      <alignment horizontal="center"/>
    </xf>
    <xf numFmtId="2" fontId="8" fillId="10" borderId="2" xfId="1" applyNumberFormat="1" applyFont="1" applyFill="1" applyBorder="1"/>
    <xf numFmtId="2" fontId="8" fillId="11" borderId="2" xfId="1" applyNumberFormat="1" applyFont="1" applyFill="1" applyBorder="1"/>
    <xf numFmtId="2" fontId="8" fillId="10" borderId="3" xfId="1" applyNumberFormat="1" applyFont="1" applyFill="1" applyBorder="1"/>
    <xf numFmtId="0" fontId="10" fillId="0" borderId="0" xfId="1" applyFont="1" applyAlignment="1">
      <alignment horizontal="center"/>
    </xf>
    <xf numFmtId="165" fontId="0" fillId="0" borderId="0" xfId="0" applyNumberFormat="1"/>
    <xf numFmtId="0" fontId="11" fillId="0" borderId="0" xfId="0" applyFont="1"/>
    <xf numFmtId="0" fontId="5" fillId="0" borderId="0" xfId="0" applyFont="1" applyAlignment="1">
      <alignment horizontal="center"/>
    </xf>
    <xf numFmtId="0" fontId="6" fillId="0" borderId="0" xfId="1" applyFont="1" applyAlignment="1">
      <alignment horizontal="center"/>
    </xf>
  </cellXfs>
  <cellStyles count="3">
    <cellStyle name="Normale" xfId="0" builtinId="0"/>
    <cellStyle name="Normale 2" xfId="1" xr:uid="{00000000-0005-0000-0000-00002F000000}"/>
    <cellStyle name="Testo descrittivo 2" xfId="2" xr:uid="{00000000-0005-0000-0000-000030000000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Speed-Up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Strategia 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Foglio1!$A$5:$A$9</c:f>
              <c:numCache>
                <c:formatCode>0.00E+00</c:formatCode>
                <c:ptCount val="5"/>
                <c:pt idx="0">
                  <c:v>1600000</c:v>
                </c:pt>
                <c:pt idx="1">
                  <c:v>3200000</c:v>
                </c:pt>
                <c:pt idx="2">
                  <c:v>6400000</c:v>
                </c:pt>
                <c:pt idx="3">
                  <c:v>12800000</c:v>
                </c:pt>
                <c:pt idx="4">
                  <c:v>25600000</c:v>
                </c:pt>
              </c:numCache>
            </c:numRef>
          </c:cat>
          <c:val>
            <c:numRef>
              <c:f>Foglio1!$F$5:$F$9</c:f>
              <c:numCache>
                <c:formatCode>0.00</c:formatCode>
                <c:ptCount val="5"/>
                <c:pt idx="0">
                  <c:v>0.95929111444400228</c:v>
                </c:pt>
                <c:pt idx="1">
                  <c:v>0.96407246230138643</c:v>
                </c:pt>
                <c:pt idx="2">
                  <c:v>0.96766360131515272</c:v>
                </c:pt>
                <c:pt idx="3">
                  <c:v>0.94564897980043183</c:v>
                </c:pt>
                <c:pt idx="4">
                  <c:v>0.96078431372549022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5-422E-AF3E-950F8F3D3CD7}"/>
            </c:ext>
          </c:extLst>
        </c:ser>
        <c:ser>
          <c:idx val="1"/>
          <c:order val="1"/>
          <c:tx>
            <c:v>Strategia 2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Foglio1!$A$5:$A$9</c:f>
              <c:numCache>
                <c:formatCode>0.00E+00</c:formatCode>
                <c:ptCount val="5"/>
                <c:pt idx="0">
                  <c:v>1600000</c:v>
                </c:pt>
                <c:pt idx="1">
                  <c:v>3200000</c:v>
                </c:pt>
                <c:pt idx="2">
                  <c:v>6400000</c:v>
                </c:pt>
                <c:pt idx="3">
                  <c:v>12800000</c:v>
                </c:pt>
                <c:pt idx="4">
                  <c:v>25600000</c:v>
                </c:pt>
              </c:numCache>
            </c:numRef>
          </c:cat>
          <c:val>
            <c:numRef>
              <c:f>Foglio1!$F$13:$F$17</c:f>
              <c:numCache>
                <c:formatCode>0.00</c:formatCode>
                <c:ptCount val="5"/>
                <c:pt idx="0">
                  <c:v>7.4320607066635045</c:v>
                </c:pt>
                <c:pt idx="1">
                  <c:v>8.9474013775829686</c:v>
                </c:pt>
                <c:pt idx="2">
                  <c:v>14.88371197535618</c:v>
                </c:pt>
                <c:pt idx="3">
                  <c:v>17.963352479572851</c:v>
                </c:pt>
                <c:pt idx="4">
                  <c:v>20.940328733575097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65-422E-AF3E-950F8F3D3CD7}"/>
            </c:ext>
          </c:extLst>
        </c:ser>
        <c:ser>
          <c:idx val="2"/>
          <c:order val="2"/>
          <c:tx>
            <c:v>Strategia 3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Foglio1!$A$5:$A$9</c:f>
              <c:numCache>
                <c:formatCode>0.00E+00</c:formatCode>
                <c:ptCount val="5"/>
                <c:pt idx="0">
                  <c:v>1600000</c:v>
                </c:pt>
                <c:pt idx="1">
                  <c:v>3200000</c:v>
                </c:pt>
                <c:pt idx="2">
                  <c:v>6400000</c:v>
                </c:pt>
                <c:pt idx="3">
                  <c:v>12800000</c:v>
                </c:pt>
                <c:pt idx="4">
                  <c:v>25600000</c:v>
                </c:pt>
              </c:numCache>
            </c:numRef>
          </c:cat>
          <c:val>
            <c:numRef>
              <c:f>Foglio1!$F$21:$F$25</c:f>
              <c:numCache>
                <c:formatCode>0.00</c:formatCode>
                <c:ptCount val="5"/>
                <c:pt idx="0">
                  <c:v>7.5886198547215491</c:v>
                </c:pt>
                <c:pt idx="1">
                  <c:v>12.294256829425683</c:v>
                </c:pt>
                <c:pt idx="2">
                  <c:v>18.867393426618939</c:v>
                </c:pt>
                <c:pt idx="3">
                  <c:v>25.455118651839964</c:v>
                </c:pt>
                <c:pt idx="4">
                  <c:v>31.659498718313873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65-422E-AF3E-950F8F3D3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2537743"/>
        <c:axId val="1932538223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Foglio1!$A$5:$A$9</c15:sqref>
                        </c15:formulaRef>
                      </c:ext>
                    </c:extLst>
                    <c:numCache>
                      <c:formatCode>0.00E+00</c:formatCode>
                      <c:ptCount val="5"/>
                      <c:pt idx="0">
                        <c:v>1600000</c:v>
                      </c:pt>
                      <c:pt idx="1">
                        <c:v>3200000</c:v>
                      </c:pt>
                      <c:pt idx="2">
                        <c:v>6400000</c:v>
                      </c:pt>
                      <c:pt idx="3">
                        <c:v>12800000</c:v>
                      </c:pt>
                      <c:pt idx="4">
                        <c:v>25600000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Foglio1!$A$5:$A$9</c15:sqref>
                        </c15:formulaRef>
                      </c:ext>
                    </c:extLst>
                    <c:numCache>
                      <c:formatCode>0.00E+00</c:formatCode>
                      <c:ptCount val="5"/>
                      <c:pt idx="0">
                        <c:v>1600000</c:v>
                      </c:pt>
                      <c:pt idx="1">
                        <c:v>3200000</c:v>
                      </c:pt>
                      <c:pt idx="2">
                        <c:v>6400000</c:v>
                      </c:pt>
                      <c:pt idx="3">
                        <c:v>12800000</c:v>
                      </c:pt>
                      <c:pt idx="4">
                        <c:v>25600000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3C65-422E-AF3E-950F8F3D3CD7}"/>
                  </c:ext>
                </c:extLst>
              </c15:ser>
            </c15:filteredBarSeries>
          </c:ext>
        </c:extLst>
      </c:barChart>
      <c:catAx>
        <c:axId val="1932537743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32538223"/>
        <c:crosses val="autoZero"/>
        <c:auto val="1"/>
        <c:lblAlgn val="ctr"/>
        <c:lblOffset val="100"/>
        <c:noMultiLvlLbl val="0"/>
      </c:catAx>
      <c:valAx>
        <c:axId val="193253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3253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286630</xdr:colOff>
      <xdr:row>26</xdr:row>
      <xdr:rowOff>76078</xdr:rowOff>
    </xdr:from>
    <xdr:to>
      <xdr:col>4</xdr:col>
      <xdr:colOff>826834</xdr:colOff>
      <xdr:row>45</xdr:row>
      <xdr:rowOff>26412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763F16CD-BF5D-BEB0-67D4-C033ED910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EAE86-35EF-40E4-8F6A-DC829CA6BAD4}" name="Tabella1" displayName="Tabella1" ref="A4:E9" totalsRowShown="0" headerRowDxfId="20" dataDxfId="19" headerRowCellStyle="Normale 2" dataCellStyle="Normale 2">
  <autoFilter ref="A4:E9" xr:uid="{4E8EAE86-35EF-40E4-8F6A-DC829CA6BAD4}"/>
  <tableColumns count="5">
    <tableColumn id="1" xr3:uid="{9CE7409C-9FD7-40C6-A901-36AE6042D98A}" name="N" dataDxfId="18" dataCellStyle="Normale 2"/>
    <tableColumn id="2" xr3:uid="{13DE7A79-7070-4C61-B0B4-67BF4545DD1D}" name="Tempo Sequenziale (ms)" dataDxfId="17" dataCellStyle="Normale 2"/>
    <tableColumn id="3" xr3:uid="{17265080-3ADC-41B0-B2D5-F55D2E6BBF73}" name="Tempo Parallelo (ms) - GPU" dataDxfId="16" dataCellStyle="Normale 2"/>
    <tableColumn id="4" xr3:uid="{E0CF3EB7-8226-48CA-99DC-CFABC2375EAD}" name="Tempo Parallelo (ms) - CPU" dataDxfId="15" dataCellStyle="Normale 2"/>
    <tableColumn id="5" xr3:uid="{B56FB859-0842-47D4-93CC-36F8C1327EF7}" name="Tempo Parallelo - Tot" dataDxfId="14" dataCellStyle="Normale 2">
      <calculatedColumnFormula>C5+D5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0800F2-F649-4681-9562-C8F8723CBEE5}" name="Tabella3" displayName="Tabella3" ref="A12:E17" totalsRowShown="0" headerRowDxfId="13" dataDxfId="12" headerRowCellStyle="Normale 2" dataCellStyle="Normale 2">
  <autoFilter ref="A12:E17" xr:uid="{0C0800F2-F649-4681-9562-C8F8723CBEE5}"/>
  <tableColumns count="5">
    <tableColumn id="1" xr3:uid="{DD77DCF3-7B3C-424D-AB24-056B3D96D06B}" name="N" dataDxfId="11" dataCellStyle="Normale 2"/>
    <tableColumn id="2" xr3:uid="{6D48C247-354E-4999-92A8-E201A56A4A60}" name="Tempo Sequenziale (ms)" dataDxfId="10" dataCellStyle="Normale 2"/>
    <tableColumn id="3" xr3:uid="{40B22ACC-D6B6-4C83-87DB-157D79EA3E29}" name="Tempo Parallelo (ms) - GPU" dataDxfId="9" dataCellStyle="Normale 2"/>
    <tableColumn id="4" xr3:uid="{1162417A-D011-4CAF-8580-1C0606EE9D3D}" name="Tempo Parallelo (ms) - CPU" dataDxfId="8" dataCellStyle="Normale 2"/>
    <tableColumn id="5" xr3:uid="{07478BCC-5794-4FBF-A66E-4EE345703A7D}" name="Tempo Parallelo - Tot" dataDxfId="7" dataCellStyle="Normale 2">
      <calculatedColumnFormula>C13+D13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0A246F-1383-4A2E-B7A7-DDCB78E4C973}" name="Tabella4" displayName="Tabella4" ref="A20:E25" totalsRowShown="0" headerRowDxfId="6" dataDxfId="5" headerRowCellStyle="Normale 2" dataCellStyle="Normale 2">
  <autoFilter ref="A20:E25" xr:uid="{EF0A246F-1383-4A2E-B7A7-DDCB78E4C973}"/>
  <tableColumns count="5">
    <tableColumn id="1" xr3:uid="{E3D4075C-ED1E-4F7A-87BF-563F428D477D}" name="N" dataDxfId="4" dataCellStyle="Normale 2"/>
    <tableColumn id="2" xr3:uid="{64B54B93-62C2-4269-A303-2C6BAFA09D98}" name="Tempo Sequenziale (ms)" dataDxfId="3" dataCellStyle="Normale 2"/>
    <tableColumn id="3" xr3:uid="{ECF11607-46CC-413B-AA42-D23F7977D6A3}" name="Tempo Parallelo (ms) - GPU" dataDxfId="2" dataCellStyle="Normale 2"/>
    <tableColumn id="4" xr3:uid="{91C5B08A-33CD-4A9C-9DD9-6D5283403DE7}" name="Tempo Parallelo (ms) - CPU" dataDxfId="1" dataCellStyle="Normale 2"/>
    <tableColumn id="5" xr3:uid="{4176E5B7-4885-4BF1-9460-4E907A1EC96A}" name="Tempo Parallelo - Tot" dataDxfId="0" dataCellStyle="Normale 2">
      <calculatedColumnFormula>C21+D21</calculatedColumnFormula>
    </tableColumn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8C3B8D-8A2A-4570-BD29-2C530AC99E9E}" name="Tabella2" displayName="Tabella2" ref="I4:J34" totalsRowShown="0">
  <autoFilter ref="I4:J34" xr:uid="{538C3B8D-8A2A-4570-BD29-2C530AC99E9E}"/>
  <tableColumns count="2">
    <tableColumn id="1" xr3:uid="{538906C5-90BE-4160-ADA7-D46FF4EE5D75}" name="Parametro"/>
    <tableColumn id="2" xr3:uid="{AFC3DC05-6FB7-47B1-8AC5-99CEA4C68C3A}" name="Val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E956-6166-4304-922D-C2C0C8EF654E}">
  <dimension ref="A1:J34"/>
  <sheetViews>
    <sheetView tabSelected="1" view="pageBreakPreview" zoomScale="70" zoomScaleNormal="100" zoomScaleSheetLayoutView="70" workbookViewId="0">
      <selection activeCell="I42" sqref="I42"/>
    </sheetView>
  </sheetViews>
  <sheetFormatPr defaultRowHeight="15" x14ac:dyDescent="0.25"/>
  <cols>
    <col min="1" max="1" width="10.85546875" customWidth="1"/>
    <col min="2" max="2" width="28" customWidth="1"/>
    <col min="3" max="3" width="28.28515625" customWidth="1"/>
    <col min="4" max="4" width="27.28515625" customWidth="1"/>
    <col min="5" max="5" width="23.42578125" customWidth="1"/>
    <col min="6" max="6" width="9.42578125" bestFit="1" customWidth="1"/>
    <col min="8" max="8" width="5.140625" customWidth="1"/>
    <col min="9" max="9" width="38.28515625" customWidth="1"/>
    <col min="10" max="10" width="27.28515625" customWidth="1"/>
  </cols>
  <sheetData>
    <row r="1" spans="1:10" ht="31.5" customHeight="1" x14ac:dyDescent="0.4">
      <c r="A1" s="23" t="s">
        <v>38</v>
      </c>
    </row>
    <row r="3" spans="1:10" ht="13.5" customHeight="1" x14ac:dyDescent="0.3">
      <c r="A3" s="24" t="s">
        <v>2</v>
      </c>
      <c r="B3" s="24"/>
      <c r="C3" s="24"/>
      <c r="D3" s="24"/>
    </row>
    <row r="4" spans="1:10" ht="15.75" thickBot="1" x14ac:dyDescent="0.3">
      <c r="A4" s="5" t="s">
        <v>0</v>
      </c>
      <c r="B4" s="21" t="s">
        <v>5</v>
      </c>
      <c r="C4" s="21" t="s">
        <v>6</v>
      </c>
      <c r="D4" s="12" t="s">
        <v>7</v>
      </c>
      <c r="E4" s="12" t="s">
        <v>8</v>
      </c>
      <c r="F4" s="8" t="s">
        <v>1</v>
      </c>
      <c r="I4" t="s">
        <v>9</v>
      </c>
      <c r="J4" t="s">
        <v>10</v>
      </c>
    </row>
    <row r="5" spans="1:10" ht="15.75" thickTop="1" x14ac:dyDescent="0.25">
      <c r="A5" s="4">
        <v>1600000</v>
      </c>
      <c r="B5" s="2">
        <v>3.1341000000000001</v>
      </c>
      <c r="C5" s="2">
        <v>0.37059999999999998</v>
      </c>
      <c r="D5" s="2">
        <v>2.8965000000000001</v>
      </c>
      <c r="E5" s="7">
        <f t="shared" ref="E5:E9" si="0">C5+D5</f>
        <v>3.2671000000000001</v>
      </c>
      <c r="F5" s="9">
        <f>B5/E5</f>
        <v>0.95929111444400228</v>
      </c>
      <c r="I5" t="s">
        <v>11</v>
      </c>
      <c r="J5" s="22" t="s">
        <v>37</v>
      </c>
    </row>
    <row r="6" spans="1:10" x14ac:dyDescent="0.25">
      <c r="A6" s="4">
        <v>3200000</v>
      </c>
      <c r="B6" s="2">
        <v>5.7156000000000002</v>
      </c>
      <c r="C6" s="7">
        <v>0.4587</v>
      </c>
      <c r="D6" s="2">
        <v>5.4699</v>
      </c>
      <c r="E6" s="7">
        <f t="shared" si="0"/>
        <v>5.9286000000000003</v>
      </c>
      <c r="F6" s="10">
        <f>B6/E6</f>
        <v>0.96407246230138643</v>
      </c>
      <c r="I6" t="s">
        <v>12</v>
      </c>
      <c r="J6">
        <v>38</v>
      </c>
    </row>
    <row r="7" spans="1:10" x14ac:dyDescent="0.25">
      <c r="A7" s="4">
        <v>6400000</v>
      </c>
      <c r="B7" s="2">
        <v>11.5959</v>
      </c>
      <c r="C7" s="2">
        <v>0.49149999999999999</v>
      </c>
      <c r="D7" s="2">
        <v>11.491899999999999</v>
      </c>
      <c r="E7" s="7">
        <f t="shared" si="0"/>
        <v>11.9834</v>
      </c>
      <c r="F7" s="9">
        <f>B7/E7</f>
        <v>0.96766360131515272</v>
      </c>
      <c r="I7" t="s">
        <v>13</v>
      </c>
      <c r="J7">
        <v>32</v>
      </c>
    </row>
    <row r="8" spans="1:10" x14ac:dyDescent="0.25">
      <c r="A8" s="4">
        <v>12800000</v>
      </c>
      <c r="B8" s="2">
        <v>22.204499999999999</v>
      </c>
      <c r="C8" s="7">
        <v>0.58430000000000004</v>
      </c>
      <c r="D8" s="2">
        <v>23.480699999999999</v>
      </c>
      <c r="E8" s="7">
        <f>23.4807</f>
        <v>23.480699999999999</v>
      </c>
      <c r="F8" s="10">
        <f>B8/E8</f>
        <v>0.94564897980043183</v>
      </c>
      <c r="I8" t="s">
        <v>14</v>
      </c>
      <c r="J8">
        <v>1536</v>
      </c>
    </row>
    <row r="9" spans="1:10" x14ac:dyDescent="0.25">
      <c r="A9" s="4">
        <v>25600000</v>
      </c>
      <c r="B9" s="2">
        <v>44.462600000000002</v>
      </c>
      <c r="C9" s="2">
        <v>0.82420000000000004</v>
      </c>
      <c r="D9" s="2">
        <v>45.453200000000002</v>
      </c>
      <c r="E9" s="7">
        <f t="shared" si="0"/>
        <v>46.2774</v>
      </c>
      <c r="F9" s="11">
        <f>B9/E9</f>
        <v>0.96078431372549022</v>
      </c>
      <c r="I9" t="s">
        <v>15</v>
      </c>
      <c r="J9">
        <v>16</v>
      </c>
    </row>
    <row r="10" spans="1:10" x14ac:dyDescent="0.25">
      <c r="A10" s="4"/>
      <c r="B10" s="2"/>
      <c r="I10" t="s">
        <v>16</v>
      </c>
      <c r="J10">
        <v>1024</v>
      </c>
    </row>
    <row r="11" spans="1:10" x14ac:dyDescent="0.25">
      <c r="A11" s="25" t="s">
        <v>3</v>
      </c>
      <c r="B11" s="25"/>
      <c r="C11" s="25"/>
      <c r="D11" s="25"/>
    </row>
    <row r="12" spans="1:10" ht="15.75" thickBot="1" x14ac:dyDescent="0.3">
      <c r="A12" s="5" t="s">
        <v>0</v>
      </c>
      <c r="B12" s="21" t="s">
        <v>5</v>
      </c>
      <c r="C12" s="21" t="s">
        <v>6</v>
      </c>
      <c r="D12" s="12" t="s">
        <v>7</v>
      </c>
      <c r="E12" s="12" t="s">
        <v>8</v>
      </c>
      <c r="F12" s="13" t="s">
        <v>1</v>
      </c>
      <c r="I12" t="s">
        <v>17</v>
      </c>
      <c r="J12">
        <v>102400</v>
      </c>
    </row>
    <row r="13" spans="1:10" ht="15.75" thickTop="1" x14ac:dyDescent="0.25">
      <c r="A13" s="4">
        <v>1600000</v>
      </c>
      <c r="B13" s="2">
        <v>3.1341000000000001</v>
      </c>
      <c r="C13" s="2">
        <v>0.4153</v>
      </c>
      <c r="D13" s="2">
        <v>6.4000000000000003E-3</v>
      </c>
      <c r="E13" s="7">
        <f t="shared" ref="E13:E17" si="1">C13+D13</f>
        <v>0.42170000000000002</v>
      </c>
      <c r="F13" s="14">
        <f>B13/E13</f>
        <v>7.4320607066635045</v>
      </c>
      <c r="I13" t="s">
        <v>18</v>
      </c>
      <c r="J13">
        <v>49152</v>
      </c>
    </row>
    <row r="14" spans="1:10" x14ac:dyDescent="0.25">
      <c r="A14" s="4">
        <v>3200000</v>
      </c>
      <c r="B14" s="2">
        <v>5.7156000000000002</v>
      </c>
      <c r="C14" s="2">
        <v>0.61570000000000003</v>
      </c>
      <c r="D14" s="2">
        <v>2.3099999999999999E-2</v>
      </c>
      <c r="E14" s="7">
        <f t="shared" si="1"/>
        <v>0.63880000000000003</v>
      </c>
      <c r="F14" s="15">
        <f>B14/E14</f>
        <v>8.9474013775829686</v>
      </c>
      <c r="I14" t="s">
        <v>19</v>
      </c>
      <c r="J14">
        <v>101376</v>
      </c>
    </row>
    <row r="15" spans="1:10" x14ac:dyDescent="0.25">
      <c r="A15" s="4">
        <v>6400000</v>
      </c>
      <c r="B15" s="2">
        <v>11.5959</v>
      </c>
      <c r="C15" s="2">
        <v>0.74570000000000003</v>
      </c>
      <c r="D15" s="2">
        <v>3.3399999999999999E-2</v>
      </c>
      <c r="E15" s="7">
        <f t="shared" si="1"/>
        <v>0.77910000000000001</v>
      </c>
      <c r="F15" s="14">
        <f>B15/E15</f>
        <v>14.88371197535618</v>
      </c>
      <c r="I15" t="s">
        <v>20</v>
      </c>
      <c r="J15">
        <v>65536</v>
      </c>
    </row>
    <row r="16" spans="1:10" x14ac:dyDescent="0.25">
      <c r="A16" s="4">
        <v>12800000</v>
      </c>
      <c r="B16" s="2">
        <v>22.204499999999999</v>
      </c>
      <c r="C16" s="2">
        <v>1.1761999999999999</v>
      </c>
      <c r="D16" s="2">
        <v>5.9900000000000002E-2</v>
      </c>
      <c r="E16" s="7">
        <f t="shared" si="1"/>
        <v>1.2361</v>
      </c>
      <c r="F16" s="15">
        <f>B16/E16</f>
        <v>17.963352479572851</v>
      </c>
      <c r="I16" t="s">
        <v>21</v>
      </c>
      <c r="J16">
        <v>65536</v>
      </c>
    </row>
    <row r="17" spans="1:10" x14ac:dyDescent="0.25">
      <c r="A17" s="4">
        <v>25600000</v>
      </c>
      <c r="B17" s="2">
        <v>44.462600000000002</v>
      </c>
      <c r="C17" s="7">
        <v>2.0108999999999999</v>
      </c>
      <c r="D17" s="2">
        <v>0.1124</v>
      </c>
      <c r="E17" s="7">
        <f t="shared" si="1"/>
        <v>2.1233</v>
      </c>
      <c r="F17" s="16">
        <f>B17/E17</f>
        <v>20.940328733575097</v>
      </c>
    </row>
    <row r="18" spans="1:10" x14ac:dyDescent="0.25">
      <c r="A18" s="1"/>
      <c r="B18" s="1"/>
      <c r="C18" s="1"/>
      <c r="D18" s="1"/>
      <c r="I18" t="s">
        <v>22</v>
      </c>
      <c r="J18">
        <v>2147483647</v>
      </c>
    </row>
    <row r="19" spans="1:10" x14ac:dyDescent="0.25">
      <c r="A19" s="25" t="s">
        <v>4</v>
      </c>
      <c r="B19" s="25"/>
      <c r="C19" s="25"/>
      <c r="D19" s="25"/>
      <c r="I19" t="s">
        <v>23</v>
      </c>
      <c r="J19">
        <v>65535</v>
      </c>
    </row>
    <row r="20" spans="1:10" ht="15.75" thickBot="1" x14ac:dyDescent="0.3">
      <c r="A20" s="5" t="s">
        <v>0</v>
      </c>
      <c r="B20" s="21" t="s">
        <v>5</v>
      </c>
      <c r="C20" s="21" t="s">
        <v>6</v>
      </c>
      <c r="D20" s="12" t="s">
        <v>7</v>
      </c>
      <c r="E20" s="12" t="s">
        <v>8</v>
      </c>
      <c r="F20" s="17" t="s">
        <v>1</v>
      </c>
      <c r="I20" t="s">
        <v>24</v>
      </c>
      <c r="J20">
        <v>65535</v>
      </c>
    </row>
    <row r="21" spans="1:10" ht="15.75" thickTop="1" x14ac:dyDescent="0.25">
      <c r="A21" s="4">
        <v>1600000</v>
      </c>
      <c r="B21" s="2">
        <v>3.1341000000000001</v>
      </c>
      <c r="C21" s="2">
        <v>0.40410000000000001</v>
      </c>
      <c r="D21" s="7">
        <v>8.8999999999999999E-3</v>
      </c>
      <c r="E21" s="7">
        <f t="shared" ref="E21:E25" si="2">C21+D21</f>
        <v>0.41300000000000003</v>
      </c>
      <c r="F21" s="18">
        <f>B21/E21</f>
        <v>7.5886198547215491</v>
      </c>
      <c r="I21" t="s">
        <v>25</v>
      </c>
      <c r="J21">
        <v>1024</v>
      </c>
    </row>
    <row r="22" spans="1:10" x14ac:dyDescent="0.25">
      <c r="A22" s="4">
        <v>3200000</v>
      </c>
      <c r="B22" s="2">
        <v>5.7156000000000002</v>
      </c>
      <c r="C22" s="2">
        <v>0.44190000000000002</v>
      </c>
      <c r="D22" s="7">
        <v>2.3E-2</v>
      </c>
      <c r="E22" s="7">
        <f>C22+D22</f>
        <v>0.46490000000000004</v>
      </c>
      <c r="F22" s="19">
        <f>B22/E22</f>
        <v>12.294256829425683</v>
      </c>
      <c r="I22" t="s">
        <v>26</v>
      </c>
      <c r="J22">
        <v>1024</v>
      </c>
    </row>
    <row r="23" spans="1:10" x14ac:dyDescent="0.25">
      <c r="A23" s="4">
        <v>6400000</v>
      </c>
      <c r="B23" s="2">
        <v>11.5959</v>
      </c>
      <c r="C23" s="2">
        <v>0.58230000000000004</v>
      </c>
      <c r="D23" s="7">
        <v>3.2300000000000002E-2</v>
      </c>
      <c r="E23" s="7">
        <f t="shared" si="2"/>
        <v>0.61460000000000004</v>
      </c>
      <c r="F23" s="18">
        <f>B23/E23</f>
        <v>18.867393426618939</v>
      </c>
      <c r="I23" t="s">
        <v>27</v>
      </c>
      <c r="J23">
        <v>64</v>
      </c>
    </row>
    <row r="24" spans="1:10" x14ac:dyDescent="0.25">
      <c r="A24" s="4">
        <v>12800000</v>
      </c>
      <c r="B24" s="2">
        <v>22.204499999999999</v>
      </c>
      <c r="C24" s="2">
        <v>0.80989999999999995</v>
      </c>
      <c r="D24" s="7">
        <v>6.2399999999999997E-2</v>
      </c>
      <c r="E24" s="7">
        <f t="shared" si="2"/>
        <v>0.87229999999999996</v>
      </c>
      <c r="F24" s="19">
        <f>B24/E24</f>
        <v>25.455118651839964</v>
      </c>
    </row>
    <row r="25" spans="1:10" x14ac:dyDescent="0.25">
      <c r="A25" s="4">
        <v>25600000</v>
      </c>
      <c r="B25" s="2">
        <v>44.462600000000002</v>
      </c>
      <c r="C25" s="2">
        <v>1.2887999999999999</v>
      </c>
      <c r="D25" s="7">
        <v>0.11559999999999999</v>
      </c>
      <c r="E25" s="7">
        <f t="shared" si="2"/>
        <v>1.4043999999999999</v>
      </c>
      <c r="F25" s="20">
        <f>B25/E25</f>
        <v>31.659498718313873</v>
      </c>
      <c r="I25" t="s">
        <v>28</v>
      </c>
      <c r="J25">
        <v>1.68</v>
      </c>
    </row>
    <row r="26" spans="1:10" x14ac:dyDescent="0.25">
      <c r="A26" s="4"/>
      <c r="B26" s="2"/>
      <c r="C26" s="3"/>
      <c r="D26" s="3"/>
      <c r="I26" t="s">
        <v>29</v>
      </c>
      <c r="J26">
        <v>7001</v>
      </c>
    </row>
    <row r="27" spans="1:10" x14ac:dyDescent="0.25">
      <c r="A27" s="1"/>
      <c r="B27" s="1"/>
      <c r="C27" s="1"/>
      <c r="D27" s="1"/>
      <c r="I27" t="s">
        <v>30</v>
      </c>
      <c r="J27">
        <v>256</v>
      </c>
    </row>
    <row r="28" spans="1:10" x14ac:dyDescent="0.25">
      <c r="A28" s="6"/>
      <c r="B28" s="6"/>
      <c r="C28" s="6"/>
      <c r="D28" s="6"/>
      <c r="I28" t="s">
        <v>31</v>
      </c>
      <c r="J28">
        <v>448.06</v>
      </c>
    </row>
    <row r="29" spans="1:10" x14ac:dyDescent="0.25">
      <c r="I29" t="s">
        <v>32</v>
      </c>
      <c r="J29">
        <v>8</v>
      </c>
    </row>
    <row r="30" spans="1:10" x14ac:dyDescent="0.25">
      <c r="I30" t="s">
        <v>33</v>
      </c>
      <c r="J30">
        <v>3072</v>
      </c>
    </row>
    <row r="32" spans="1:10" x14ac:dyDescent="0.25">
      <c r="I32" t="s">
        <v>34</v>
      </c>
      <c r="J32">
        <v>1</v>
      </c>
    </row>
    <row r="33" spans="9:10" x14ac:dyDescent="0.25">
      <c r="I33" t="s">
        <v>35</v>
      </c>
      <c r="J33">
        <v>1</v>
      </c>
    </row>
    <row r="34" spans="9:10" x14ac:dyDescent="0.25">
      <c r="I34" t="s">
        <v>36</v>
      </c>
      <c r="J34">
        <v>1</v>
      </c>
    </row>
  </sheetData>
  <mergeCells count="3">
    <mergeCell ref="A3:D3"/>
    <mergeCell ref="A11:D11"/>
    <mergeCell ref="A19:D19"/>
  </mergeCells>
  <pageMargins left="0.7" right="0.7" top="0.75" bottom="0.75" header="0.3" footer="0.3"/>
  <pageSetup paperSize="9" scale="68" orientation="landscape" r:id="rId1"/>
  <rowBreaks count="1" manualBreakCount="1">
    <brk id="46" max="13" man="1"/>
  </rowBreaks>
  <colBreaks count="1" manualBreakCount="1">
    <brk id="7" max="45" man="1"/>
  </colBreaks>
  <drawing r:id="rId2"/>
  <tableParts count="4"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SIMONE D'ASSISI</cp:lastModifiedBy>
  <dcterms:created xsi:type="dcterms:W3CDTF">2018-10-10T08:50:18Z</dcterms:created>
  <dcterms:modified xsi:type="dcterms:W3CDTF">2025-11-28T11:50:29Z</dcterms:modified>
</cp:coreProperties>
</file>